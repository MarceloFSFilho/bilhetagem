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elo.francisco\Desktop\"/>
    </mc:Choice>
  </mc:AlternateContent>
  <xr:revisionPtr revIDLastSave="0" documentId="13_ncr:1_{46CAA6F9-AF9B-4091-A4CF-757B332B630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acro" sheetId="2" r:id="rId1"/>
    <sheet name="Formulario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1" l="1"/>
  <c r="P16" i="1" s="1"/>
  <c r="P36" i="1"/>
  <c r="H21" i="1" l="1"/>
  <c r="H31" i="1" s="1"/>
</calcChain>
</file>

<file path=xl/sharedStrings.xml><?xml version="1.0" encoding="utf-8"?>
<sst xmlns="http://schemas.openxmlformats.org/spreadsheetml/2006/main" count="97" uniqueCount="79">
  <si>
    <t>Final anterior</t>
  </si>
  <si>
    <t>Prox. Iniciante</t>
  </si>
  <si>
    <t>Roleta Final</t>
  </si>
  <si>
    <t>Autoriza roleta</t>
  </si>
  <si>
    <t>Passageiros</t>
  </si>
  <si>
    <t>Dif. Bilhetagem x Roleta</t>
  </si>
  <si>
    <t>Inf. Guia</t>
  </si>
  <si>
    <t>Valor liq bilhetagem</t>
  </si>
  <si>
    <t>Hora prestação de contas</t>
  </si>
  <si>
    <t>Linha guia</t>
  </si>
  <si>
    <t>Linha Bilhetagem</t>
  </si>
  <si>
    <t>Tarifa guia</t>
  </si>
  <si>
    <t>Tarifa bilhetagem</t>
  </si>
  <si>
    <t>Dif tarifa</t>
  </si>
  <si>
    <t>Carro</t>
  </si>
  <si>
    <t>Linha</t>
  </si>
  <si>
    <t>Turno</t>
  </si>
  <si>
    <t>Data</t>
  </si>
  <si>
    <t>Nº Guia</t>
  </si>
  <si>
    <t>Matric. Cob.</t>
  </si>
  <si>
    <t>QTD.</t>
  </si>
  <si>
    <t>COD. BUS</t>
  </si>
  <si>
    <t>VISION</t>
  </si>
  <si>
    <t>QTD</t>
  </si>
  <si>
    <t>MATRICULA</t>
  </si>
  <si>
    <t>MAIOR</t>
  </si>
  <si>
    <t>VLR.</t>
  </si>
  <si>
    <t>VLR</t>
  </si>
  <si>
    <t>HR</t>
  </si>
  <si>
    <t>Nº</t>
  </si>
  <si>
    <t>Qtd. Passageiros roleta</t>
  </si>
  <si>
    <t>Qtd. Passageiros Bilhetagem</t>
  </si>
  <si>
    <t>Valor líquido guia</t>
  </si>
  <si>
    <t>Valor recebido  guia</t>
  </si>
  <si>
    <t>Sobra guia</t>
  </si>
  <si>
    <t>Falta guia</t>
  </si>
  <si>
    <t>Solicitação de pesquisa</t>
  </si>
  <si>
    <t>CAIXA</t>
  </si>
  <si>
    <t>Valor liq. Roleta</t>
  </si>
  <si>
    <t>Roleta inicial</t>
  </si>
  <si>
    <t xml:space="preserve">Qtd botão roleta </t>
  </si>
  <si>
    <t>Data de</t>
  </si>
  <si>
    <t>Requisição</t>
  </si>
  <si>
    <t>Qtd. Botão Bilhetagem</t>
  </si>
  <si>
    <t>Qtd. VT/BU/GRAT.</t>
  </si>
  <si>
    <t>Matric. Mot.</t>
  </si>
  <si>
    <t>DATA_HORA_PRESTACAO_CONTA</t>
  </si>
  <si>
    <t>ROLETA_INICIAL</t>
  </si>
  <si>
    <t>ROLETA_FINAL</t>
  </si>
  <si>
    <t>VT</t>
  </si>
  <si>
    <t>BU</t>
  </si>
  <si>
    <t>GRAT</t>
  </si>
  <si>
    <t>GUIA</t>
  </si>
  <si>
    <t>CARRO</t>
  </si>
  <si>
    <t>LINHA_GUIA</t>
  </si>
  <si>
    <t>TURNO</t>
  </si>
  <si>
    <t>MOTORISTA</t>
  </si>
  <si>
    <t>COBRADOR</t>
  </si>
  <si>
    <t>DATA</t>
  </si>
  <si>
    <t>PASSAGEIROS_BILHETAGEM</t>
  </si>
  <si>
    <t>BOTAO_BILHETAGEM</t>
  </si>
  <si>
    <t>VT_BILHETAGEM</t>
  </si>
  <si>
    <t>BU_BILHETAGEM</t>
  </si>
  <si>
    <t>GRATUIDADE_BILHETAGEM</t>
  </si>
  <si>
    <t>RECEITA_LIQ</t>
  </si>
  <si>
    <t>RECEITA_RECEBIDA</t>
  </si>
  <si>
    <t>SOBRA</t>
  </si>
  <si>
    <t>FALTA</t>
  </si>
  <si>
    <t>LINHA_GUIA_1</t>
  </si>
  <si>
    <t>LINHA_BILHETAGEM</t>
  </si>
  <si>
    <t>TARIFA_GUIA</t>
  </si>
  <si>
    <t>LIQ_BILHETAGEM</t>
  </si>
  <si>
    <t>DIFERENÇA</t>
  </si>
  <si>
    <t>Observações:</t>
  </si>
  <si>
    <t>Contagem de passageiros imagem</t>
  </si>
  <si>
    <t>QTD. Apurada</t>
  </si>
  <si>
    <t>não</t>
  </si>
  <si>
    <t xml:space="preserve">APARENTEMENTE A FALTA COBRADA É REFERENTE A 3 PASSAGENS COBRADAS DEVIDO A UM ERRO DE PANE NO VALIDADOR </t>
  </si>
  <si>
    <t>NÃO DEVE SER COBRADO DO MOTORISTA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</si>
</sst>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* #,##0.00_-;\-&quot;R$&quot;* #,##0.00_-;_-&quot;R$&quot;* &quot;-&quot;??_-;_-@_-"/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left" vertical="top"/>
    </xf>
    <xf numFmtId="0" fontId="1" fillId="2" borderId="5" xfId="0" applyFont="1" applyFill="1" applyBorder="1" applyAlignment="1">
      <alignment horizontal="left" vertical="top"/>
    </xf>
    <xf numFmtId="0" fontId="0" fillId="0" borderId="11" xfId="0" applyBorder="1"/>
    <xf numFmtId="0" fontId="1" fillId="2" borderId="4" xfId="0" applyFont="1" applyFill="1" applyBorder="1" applyAlignment="1">
      <alignment horizontal="left"/>
    </xf>
    <xf numFmtId="0" fontId="0" fillId="3" borderId="0" xfId="0" applyFill="1"/>
    <xf numFmtId="0" fontId="0" fillId="3" borderId="1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0" borderId="2" xfId="0" applyBorder="1" applyAlignment="1">
      <alignment horizontal="center" vertical="center"/>
    </xf>
    <xf numFmtId="43" fontId="0" fillId="0" borderId="2" xfId="1" applyNumberFormat="1" applyFont="1" applyBorder="1"/>
    <xf numFmtId="14" fontId="0" fillId="0" borderId="0" xfId="0" applyNumberFormat="1"/>
    <xf numFmtId="2" fontId="0" fillId="0" borderId="11" xfId="0" applyNumberFormat="1" applyBorder="1"/>
    <xf numFmtId="43" fontId="0" fillId="0" borderId="0" xfId="0" applyNumberFormat="1"/>
    <xf numFmtId="0" fontId="3" fillId="2" borderId="5" xfId="0" applyFont="1" applyFill="1" applyBorder="1"/>
    <xf numFmtId="0" fontId="1" fillId="2" borderId="3" xfId="0" applyFont="1" applyFill="1" applyBorder="1"/>
    <xf numFmtId="0" fontId="0" fillId="0" borderId="0" xfId="0" applyAlignment="1">
      <alignment vertical="top"/>
    </xf>
    <xf numFmtId="22" fontId="0" fillId="0" borderId="0" xfId="0" applyNumberFormat="1"/>
    <xf numFmtId="0" fontId="1" fillId="3" borderId="8" xfId="0" applyFont="1" applyFill="1" applyBorder="1" applyAlignment="1">
      <alignment horizontal="left" vertical="top"/>
    </xf>
    <xf numFmtId="0" fontId="0" fillId="0" borderId="0" xfId="0" applyAlignment="1">
      <alignment wrapText="1"/>
    </xf>
    <xf numFmtId="22" fontId="0" fillId="0" borderId="2" xfId="0" applyNumberFormat="1" applyBorder="1"/>
    <xf numFmtId="0" fontId="0" fillId="0" borderId="11" xfId="0" applyBorder="1" applyAlignment="1">
      <alignment horizontal="center" vertical="center"/>
    </xf>
    <xf numFmtId="0" fontId="0" fillId="0" borderId="2" xfId="1" applyNumberFormat="1" applyFont="1" applyBorder="1"/>
    <xf numFmtId="0" fontId="0" fillId="0" borderId="13" xfId="0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22" xfId="0" applyBorder="1"/>
    <xf numFmtId="0" fontId="0" fillId="0" borderId="2" xfId="0" applyBorder="1" applyAlignment="1">
      <alignment horizontal="center"/>
    </xf>
    <xf numFmtId="0" fontId="0" fillId="4" borderId="1" xfId="0" applyFill="1" applyBorder="1"/>
    <xf numFmtId="0" fontId="0" fillId="4" borderId="21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2" xfId="0" applyFill="1" applyBorder="1"/>
    <xf numFmtId="0" fontId="0" fillId="4" borderId="7" xfId="0" applyFill="1" applyBorder="1"/>
    <xf numFmtId="0" fontId="3" fillId="2" borderId="4" xfId="0" applyFont="1" applyFill="1" applyBorder="1"/>
    <xf numFmtId="14" fontId="3" fillId="2" borderId="5" xfId="0" applyNumberFormat="1" applyFont="1" applyFill="1" applyBorder="1"/>
    <xf numFmtId="0" fontId="5" fillId="2" borderId="4" xfId="0" applyFont="1" applyFill="1" applyBorder="1" applyAlignment="1">
      <alignment horizontal="left" vertical="top"/>
    </xf>
    <xf numFmtId="0" fontId="6" fillId="0" borderId="0" xfId="0" applyFont="1"/>
    <xf numFmtId="14" fontId="0" fillId="0" borderId="20" xfId="0" applyNumberFormat="1" applyBorder="1"/>
    <xf numFmtId="0" fontId="0" fillId="0" borderId="0" xfId="0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85725</xdr:rowOff>
        </xdr:from>
        <xdr:to>
          <xdr:col>15</xdr:col>
          <xdr:colOff>1038225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1</xdr:row>
          <xdr:rowOff>76200</xdr:rowOff>
        </xdr:from>
        <xdr:to>
          <xdr:col>14</xdr:col>
          <xdr:colOff>161925</xdr:colOff>
          <xdr:row>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943-3B23-47F4-8E01-BCA5DF7EE299}">
  <sheetPr codeName="Planilha1"/>
  <dimension ref="A1:X2"/>
  <sheetViews>
    <sheetView workbookViewId="0">
      <selection activeCell="A2" sqref="A2:X2"/>
    </sheetView>
  </sheetViews>
  <sheetFormatPr defaultRowHeight="15" x14ac:dyDescent="0.25"/>
  <cols>
    <col min="1" max="6" width="9" customWidth="1"/>
    <col min="7" max="7" width="10.7109375" bestFit="1" customWidth="1"/>
    <col min="8" max="19" width="9" customWidth="1"/>
    <col min="20" max="20" width="15.42578125" customWidth="1"/>
    <col min="21" max="21" width="9" customWidth="1"/>
    <col min="22" max="22" width="11" customWidth="1"/>
    <col min="23" max="23" width="13.42578125" customWidth="1"/>
    <col min="24" max="24" width="9" customWidth="1"/>
  </cols>
  <sheetData>
    <row r="1" spans="1:24" s="29" customFormat="1" x14ac:dyDescent="0.25">
      <c r="A1" s="29" t="s">
        <v>52</v>
      </c>
      <c r="B1" s="29" t="s">
        <v>53</v>
      </c>
      <c r="C1" s="29" t="s">
        <v>54</v>
      </c>
      <c r="D1" s="29" t="s">
        <v>55</v>
      </c>
      <c r="E1" s="29" t="s">
        <v>56</v>
      </c>
      <c r="F1" s="29" t="s">
        <v>57</v>
      </c>
      <c r="G1" s="29" t="s">
        <v>58</v>
      </c>
      <c r="H1" s="29" t="s">
        <v>47</v>
      </c>
      <c r="I1" s="29" t="s">
        <v>48</v>
      </c>
      <c r="J1" s="29" t="s">
        <v>59</v>
      </c>
      <c r="K1" s="29" t="s">
        <v>60</v>
      </c>
      <c r="L1" s="29" t="s">
        <v>61</v>
      </c>
      <c r="M1" s="29" t="s">
        <v>62</v>
      </c>
      <c r="N1" s="29" t="s">
        <v>63</v>
      </c>
      <c r="O1" s="29" t="s">
        <v>64</v>
      </c>
      <c r="P1" s="29" t="s">
        <v>65</v>
      </c>
      <c r="Q1" s="29" t="s">
        <v>66</v>
      </c>
      <c r="R1" s="29" t="s">
        <v>67</v>
      </c>
      <c r="S1" s="29" t="s">
        <v>71</v>
      </c>
      <c r="T1" s="29" t="s">
        <v>46</v>
      </c>
      <c r="U1" s="29" t="s">
        <v>37</v>
      </c>
      <c r="V1" s="29" t="s">
        <v>68</v>
      </c>
      <c r="W1" s="29" t="s">
        <v>69</v>
      </c>
      <c r="X1" s="29" t="s">
        <v>70</v>
      </c>
    </row>
    <row r="2" spans="1:24" x14ac:dyDescent="0.25">
      <c r="A2">
        <v>2553264</v>
      </c>
      <c r="B2">
        <v>128169</v>
      </c>
      <c r="C2">
        <v>128013</v>
      </c>
      <c r="D2">
        <v>2</v>
      </c>
      <c r="E2">
        <v>41868</v>
      </c>
      <c r="F2">
        <v>1</v>
      </c>
      <c r="G2" s="21">
        <v>44884</v>
      </c>
      <c r="H2">
        <v>95506</v>
      </c>
      <c r="I2">
        <v>95790</v>
      </c>
      <c r="J2">
        <v>284</v>
      </c>
      <c r="K2">
        <v>125</v>
      </c>
      <c r="L2">
        <v>109</v>
      </c>
      <c r="M2">
        <v>12</v>
      </c>
      <c r="N2">
        <v>38</v>
      </c>
      <c r="O2">
        <v>593.75</v>
      </c>
      <c r="P2">
        <v>579.5</v>
      </c>
      <c r="Q2">
        <v>0</v>
      </c>
      <c r="R2">
        <v>14.25</v>
      </c>
      <c r="S2">
        <v>593.75</v>
      </c>
      <c r="T2" s="27">
        <v>44885.165972222225</v>
      </c>
      <c r="U2">
        <v>37498</v>
      </c>
      <c r="V2">
        <v>128013</v>
      </c>
      <c r="W2">
        <v>128013</v>
      </c>
      <c r="X2">
        <v>4.75</v>
      </c>
    </row>
  </sheetData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pageSetUpPr fitToPage="1"/>
  </sheetPr>
  <dimension ref="B1:U51"/>
  <sheetViews>
    <sheetView showGridLines="0" tabSelected="1" topLeftCell="A15" workbookViewId="0">
      <selection activeCell="C42" sqref="C42"/>
    </sheetView>
  </sheetViews>
  <sheetFormatPr defaultRowHeight="15" x14ac:dyDescent="0.25"/>
  <cols>
    <col min="1" max="1" width="9.85546875" customWidth="1"/>
    <col min="2" max="2" width="3.140625" customWidth="1"/>
    <col min="3" max="3" width="11.42578125" customWidth="1"/>
    <col min="4" max="4" width="17.140625" customWidth="1"/>
    <col min="5" max="5" width="2.7109375" customWidth="1"/>
    <col min="6" max="6" width="2.5703125" customWidth="1"/>
    <col min="7" max="7" width="11.140625" customWidth="1"/>
    <col min="8" max="8" width="18.140625" customWidth="1"/>
    <col min="9" max="9" width="2.28515625" customWidth="1"/>
    <col min="10" max="10" width="4.140625" customWidth="1"/>
    <col min="11" max="11" width="11.5703125" customWidth="1"/>
    <col min="12" max="12" width="16.42578125" customWidth="1"/>
    <col min="13" max="13" width="2.140625" customWidth="1"/>
    <col min="14" max="14" width="5.5703125" customWidth="1"/>
    <col min="15" max="15" width="8" customWidth="1"/>
    <col min="16" max="16" width="15.85546875" customWidth="1"/>
    <col min="17" max="17" width="3.28515625" customWidth="1"/>
  </cols>
  <sheetData>
    <row r="1" spans="2:17" ht="15.75" thickBot="1" x14ac:dyDescent="0.3"/>
    <row r="2" spans="2:17" ht="15.75" thickBot="1" x14ac:dyDescent="0.3">
      <c r="B2" s="11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8"/>
    </row>
    <row r="3" spans="2:17" ht="15.75" thickBot="1" x14ac:dyDescent="0.3">
      <c r="B3" s="12"/>
      <c r="C3" s="25" t="s">
        <v>36</v>
      </c>
      <c r="D3" s="24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5"/>
    </row>
    <row r="4" spans="2:17" x14ac:dyDescent="0.25">
      <c r="B4" s="12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5"/>
    </row>
    <row r="5" spans="2:17" x14ac:dyDescent="0.25">
      <c r="B5" s="12"/>
      <c r="C5" s="10" t="s">
        <v>18</v>
      </c>
      <c r="D5">
        <v>2553264</v>
      </c>
      <c r="E5" s="10"/>
      <c r="F5" s="10" t="s">
        <v>14</v>
      </c>
      <c r="G5" s="10"/>
      <c r="H5">
        <v>128169</v>
      </c>
      <c r="I5" s="10"/>
      <c r="J5" s="10" t="s">
        <v>15</v>
      </c>
      <c r="K5" s="10"/>
      <c r="L5">
        <v>128013</v>
      </c>
      <c r="M5" s="10"/>
      <c r="N5" s="10"/>
      <c r="O5" s="10" t="s">
        <v>16</v>
      </c>
      <c r="P5">
        <v>2</v>
      </c>
      <c r="Q5" s="15"/>
    </row>
    <row r="6" spans="2:17" x14ac:dyDescent="0.25">
      <c r="B6" s="1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5"/>
    </row>
    <row r="7" spans="2:17" x14ac:dyDescent="0.25">
      <c r="B7" s="12"/>
      <c r="C7" s="10" t="s">
        <v>45</v>
      </c>
      <c r="D7">
        <v>41868</v>
      </c>
      <c r="E7" s="10"/>
      <c r="F7" s="10" t="s">
        <v>19</v>
      </c>
      <c r="G7" s="10"/>
      <c r="H7">
        <v>1</v>
      </c>
      <c r="I7" s="10"/>
      <c r="J7" s="10" t="s">
        <v>17</v>
      </c>
      <c r="K7" s="10"/>
      <c r="L7" s="21">
        <v>44884</v>
      </c>
      <c r="M7" s="10"/>
      <c r="N7" s="10"/>
      <c r="O7" s="10" t="s">
        <v>41</v>
      </c>
      <c r="P7" s="21"/>
      <c r="Q7" s="15"/>
    </row>
    <row r="8" spans="2:17" ht="15.75" thickBot="1" x14ac:dyDescent="0.3">
      <c r="B8" s="12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 t="s">
        <v>42</v>
      </c>
      <c r="P8" s="10"/>
      <c r="Q8" s="15"/>
    </row>
    <row r="9" spans="2:17" ht="15.75" thickBot="1" x14ac:dyDescent="0.3">
      <c r="B9" s="13"/>
      <c r="C9" s="4" t="s">
        <v>4</v>
      </c>
      <c r="D9" s="28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6"/>
    </row>
    <row r="10" spans="2:17" ht="15.75" thickBot="1" x14ac:dyDescent="0.3">
      <c r="B10" s="5"/>
      <c r="C10" s="6" t="s">
        <v>0</v>
      </c>
      <c r="D10" s="6"/>
      <c r="E10" s="2"/>
      <c r="F10" s="9" t="s">
        <v>39</v>
      </c>
      <c r="G10" s="2"/>
      <c r="H10" s="2"/>
      <c r="I10" s="2"/>
      <c r="J10" s="9" t="s">
        <v>2</v>
      </c>
      <c r="K10" s="2"/>
      <c r="L10" s="2"/>
      <c r="M10" s="2"/>
      <c r="N10" s="9"/>
      <c r="O10" s="9" t="s">
        <v>1</v>
      </c>
      <c r="P10" s="2"/>
      <c r="Q10" s="3"/>
    </row>
    <row r="11" spans="2:17" ht="15.75" thickBot="1" x14ac:dyDescent="0.3">
      <c r="B11" s="11"/>
      <c r="E11" s="10"/>
      <c r="I11" s="10"/>
      <c r="M11" s="10"/>
      <c r="Q11" s="15"/>
    </row>
    <row r="12" spans="2:17" ht="21" customHeight="1" thickBot="1" x14ac:dyDescent="0.3">
      <c r="B12" s="12"/>
      <c r="C12" t="s">
        <v>20</v>
      </c>
      <c r="D12" s="1">
        <v>95506</v>
      </c>
      <c r="E12" s="10"/>
      <c r="G12" t="s">
        <v>29</v>
      </c>
      <c r="H12" s="1">
        <v>95506</v>
      </c>
      <c r="I12" s="10"/>
      <c r="K12" t="s">
        <v>29</v>
      </c>
      <c r="L12" s="1">
        <v>95790</v>
      </c>
      <c r="M12" s="10"/>
      <c r="O12" t="s">
        <v>29</v>
      </c>
      <c r="P12" s="1">
        <v>95790</v>
      </c>
      <c r="Q12" s="15"/>
    </row>
    <row r="13" spans="2:17" ht="15.75" thickBot="1" x14ac:dyDescent="0.3">
      <c r="B13" s="13"/>
      <c r="E13" s="10"/>
      <c r="I13" s="10"/>
      <c r="M13" s="10"/>
      <c r="Q13" s="15"/>
    </row>
    <row r="14" spans="2:17" ht="15.75" thickBot="1" x14ac:dyDescent="0.3">
      <c r="B14" s="5"/>
      <c r="C14" s="9" t="s">
        <v>3</v>
      </c>
      <c r="D14" s="6"/>
      <c r="E14" s="2"/>
      <c r="F14" s="9" t="s">
        <v>30</v>
      </c>
      <c r="G14" s="2"/>
      <c r="H14" s="2"/>
      <c r="I14" s="2"/>
      <c r="J14" s="9" t="s">
        <v>31</v>
      </c>
      <c r="K14" s="2"/>
      <c r="L14" s="6"/>
      <c r="M14" s="9"/>
      <c r="N14" s="9"/>
      <c r="O14" s="9" t="s">
        <v>5</v>
      </c>
      <c r="P14" s="2"/>
      <c r="Q14" s="3"/>
    </row>
    <row r="15" spans="2:17" ht="15.75" thickBot="1" x14ac:dyDescent="0.3">
      <c r="B15" s="11"/>
      <c r="E15" s="10"/>
      <c r="I15" s="10"/>
      <c r="M15" s="10"/>
      <c r="Q15" s="15"/>
    </row>
    <row r="16" spans="2:17" ht="21" customHeight="1" thickBot="1" x14ac:dyDescent="0.3">
      <c r="B16" s="12"/>
      <c r="C16" t="s">
        <v>72</v>
      </c>
      <c r="D16" s="19" t="s">
        <v>76</v>
      </c>
      <c r="E16" s="10"/>
      <c r="G16" t="s">
        <v>20</v>
      </c>
      <c r="H16" s="19">
        <f>L12-H12</f>
        <v>284</v>
      </c>
      <c r="I16" s="10"/>
      <c r="K16" t="s">
        <v>20</v>
      </c>
      <c r="L16" s="1">
        <v>284</v>
      </c>
      <c r="M16" s="10"/>
      <c r="O16" t="s">
        <v>23</v>
      </c>
      <c r="P16" s="19">
        <f>H16-L16</f>
        <v>0</v>
      </c>
      <c r="Q16" s="15"/>
    </row>
    <row r="17" spans="2:21" ht="21" customHeight="1" thickBot="1" x14ac:dyDescent="0.3">
      <c r="B17" s="12"/>
      <c r="C17" t="s">
        <v>24</v>
      </c>
      <c r="D17" s="19"/>
      <c r="E17" s="10"/>
      <c r="H17" s="31"/>
      <c r="I17" s="10"/>
      <c r="M17" s="10"/>
      <c r="O17" t="s">
        <v>25</v>
      </c>
      <c r="P17" s="19"/>
      <c r="Q17" s="15"/>
    </row>
    <row r="18" spans="2:21" ht="15.75" thickBot="1" x14ac:dyDescent="0.3">
      <c r="B18" s="13"/>
      <c r="E18" s="10"/>
      <c r="I18" s="10"/>
      <c r="M18" s="10"/>
      <c r="Q18" s="15"/>
    </row>
    <row r="19" spans="2:21" ht="15.75" thickBot="1" x14ac:dyDescent="0.3">
      <c r="B19" s="5"/>
      <c r="C19" s="52" t="s">
        <v>74</v>
      </c>
      <c r="D19" s="6"/>
      <c r="E19" s="6"/>
      <c r="F19" s="6" t="s">
        <v>40</v>
      </c>
      <c r="G19" s="6"/>
      <c r="H19" s="6"/>
      <c r="I19" s="6"/>
      <c r="J19" s="6" t="s">
        <v>43</v>
      </c>
      <c r="K19" s="6"/>
      <c r="L19" s="6"/>
      <c r="M19" s="6"/>
      <c r="N19" s="6"/>
      <c r="O19" s="6" t="s">
        <v>44</v>
      </c>
      <c r="P19" s="6"/>
      <c r="Q19" s="7"/>
    </row>
    <row r="20" spans="2:21" ht="15.75" thickBot="1" x14ac:dyDescent="0.3">
      <c r="B20" s="11"/>
      <c r="E20" s="10"/>
      <c r="I20" s="10"/>
      <c r="M20" s="10"/>
      <c r="Q20" s="15"/>
    </row>
    <row r="21" spans="2:21" ht="21" customHeight="1" thickBot="1" x14ac:dyDescent="0.3">
      <c r="B21" s="12"/>
      <c r="C21" s="53" t="s">
        <v>75</v>
      </c>
      <c r="D21" s="1">
        <v>381</v>
      </c>
      <c r="E21" s="10"/>
      <c r="G21" t="s">
        <v>20</v>
      </c>
      <c r="H21" s="1">
        <f>H16-P21-P22-P23</f>
        <v>125</v>
      </c>
      <c r="I21" s="10"/>
      <c r="K21" t="s">
        <v>23</v>
      </c>
      <c r="L21" s="1">
        <v>125</v>
      </c>
      <c r="M21" s="10"/>
      <c r="O21" t="s">
        <v>49</v>
      </c>
      <c r="P21" s="1">
        <v>109</v>
      </c>
      <c r="Q21" s="15"/>
    </row>
    <row r="22" spans="2:21" ht="20.25" customHeight="1" thickBot="1" x14ac:dyDescent="0.3">
      <c r="B22" s="12"/>
      <c r="C22" t="s">
        <v>21</v>
      </c>
      <c r="D22" s="42">
        <v>629861</v>
      </c>
      <c r="E22" s="10"/>
      <c r="I22" s="10"/>
      <c r="M22" s="10"/>
      <c r="O22" t="s">
        <v>50</v>
      </c>
      <c r="P22" s="1">
        <v>12</v>
      </c>
      <c r="Q22" s="15"/>
    </row>
    <row r="23" spans="2:21" ht="21" customHeight="1" thickBot="1" x14ac:dyDescent="0.3">
      <c r="B23" s="12"/>
      <c r="C23" s="26" t="s">
        <v>22</v>
      </c>
      <c r="E23" s="10"/>
      <c r="I23" s="10"/>
      <c r="M23" s="10"/>
      <c r="O23" t="s">
        <v>51</v>
      </c>
      <c r="P23" s="1">
        <v>38</v>
      </c>
      <c r="Q23" s="15"/>
    </row>
    <row r="24" spans="2:21" ht="15.75" thickBot="1" x14ac:dyDescent="0.3">
      <c r="B24" s="12"/>
      <c r="C24" s="4" t="s">
        <v>6</v>
      </c>
      <c r="E24" s="10"/>
      <c r="I24" s="10"/>
      <c r="M24" s="10"/>
      <c r="Q24" s="15"/>
    </row>
    <row r="25" spans="2:21" ht="15.75" thickBot="1" x14ac:dyDescent="0.3">
      <c r="B25" s="5"/>
      <c r="C25" s="6" t="s">
        <v>32</v>
      </c>
      <c r="D25" s="6"/>
      <c r="E25" s="6"/>
      <c r="F25" s="6" t="s">
        <v>33</v>
      </c>
      <c r="G25" s="6"/>
      <c r="H25" s="6"/>
      <c r="I25" s="6"/>
      <c r="J25" s="6" t="s">
        <v>34</v>
      </c>
      <c r="K25" s="6"/>
      <c r="L25" s="6"/>
      <c r="M25" s="6"/>
      <c r="N25" s="6"/>
      <c r="O25" s="6" t="s">
        <v>35</v>
      </c>
      <c r="P25" s="6"/>
      <c r="Q25" s="7"/>
    </row>
    <row r="26" spans="2:21" ht="15.75" thickBot="1" x14ac:dyDescent="0.3">
      <c r="B26" s="11"/>
      <c r="C26" s="8"/>
      <c r="E26" s="10"/>
      <c r="I26" s="10"/>
      <c r="M26" s="10"/>
      <c r="Q26" s="15"/>
    </row>
    <row r="27" spans="2:21" ht="21" customHeight="1" thickBot="1" x14ac:dyDescent="0.3">
      <c r="B27" s="12"/>
      <c r="C27" t="s">
        <v>26</v>
      </c>
      <c r="D27" s="1">
        <v>593.75</v>
      </c>
      <c r="E27" s="10"/>
      <c r="G27" t="s">
        <v>27</v>
      </c>
      <c r="H27" s="1">
        <v>579.5</v>
      </c>
      <c r="I27" s="10"/>
      <c r="K27" t="s">
        <v>27</v>
      </c>
      <c r="L27" s="1">
        <v>0</v>
      </c>
      <c r="M27" s="10"/>
      <c r="O27" t="s">
        <v>26</v>
      </c>
      <c r="P27" s="1">
        <v>14.25</v>
      </c>
      <c r="Q27" s="15"/>
    </row>
    <row r="28" spans="2:21" ht="15.75" thickBot="1" x14ac:dyDescent="0.3">
      <c r="B28" s="13"/>
      <c r="E28" s="10"/>
      <c r="I28" s="10"/>
      <c r="M28" s="10"/>
      <c r="Q28" s="15"/>
      <c r="U28" s="23"/>
    </row>
    <row r="29" spans="2:21" ht="15.75" thickBot="1" x14ac:dyDescent="0.3">
      <c r="B29" s="5"/>
      <c r="C29" s="6" t="s">
        <v>7</v>
      </c>
      <c r="D29" s="6"/>
      <c r="E29" s="6"/>
      <c r="F29" s="6" t="s">
        <v>38</v>
      </c>
      <c r="G29" s="6"/>
      <c r="H29" s="6"/>
      <c r="I29" s="6"/>
      <c r="J29" s="6" t="s">
        <v>8</v>
      </c>
      <c r="K29" s="6"/>
      <c r="L29" s="6"/>
      <c r="M29" s="6"/>
      <c r="N29" s="6"/>
      <c r="O29" s="6" t="s">
        <v>9</v>
      </c>
      <c r="P29" s="6"/>
      <c r="Q29" s="7"/>
    </row>
    <row r="30" spans="2:21" ht="15.75" thickBot="1" x14ac:dyDescent="0.3">
      <c r="B30" s="11"/>
      <c r="E30" s="10"/>
      <c r="I30" s="10"/>
      <c r="M30" s="10"/>
      <c r="Q30" s="15"/>
    </row>
    <row r="31" spans="2:21" ht="20.25" customHeight="1" thickBot="1" x14ac:dyDescent="0.3">
      <c r="B31" s="12"/>
      <c r="C31" t="s">
        <v>26</v>
      </c>
      <c r="D31" s="20">
        <v>593.75</v>
      </c>
      <c r="E31" s="10"/>
      <c r="G31" t="s">
        <v>26</v>
      </c>
      <c r="H31" s="32">
        <f>H36*H21</f>
        <v>593.75</v>
      </c>
      <c r="I31" s="10"/>
      <c r="K31" t="s">
        <v>28</v>
      </c>
      <c r="L31" s="30">
        <v>44885.165972222225</v>
      </c>
      <c r="M31" s="10"/>
      <c r="O31" t="s">
        <v>29</v>
      </c>
      <c r="P31" s="1">
        <v>128013</v>
      </c>
      <c r="Q31" s="15"/>
    </row>
    <row r="32" spans="2:21" ht="20.25" customHeight="1" thickBot="1" x14ac:dyDescent="0.3">
      <c r="B32" s="12"/>
      <c r="E32" s="10"/>
      <c r="H32" s="22"/>
      <c r="I32" s="10"/>
      <c r="K32" t="s">
        <v>24</v>
      </c>
      <c r="L32" s="1">
        <v>37498</v>
      </c>
      <c r="M32" s="10"/>
      <c r="Q32" s="15"/>
    </row>
    <row r="33" spans="2:17" ht="15.75" thickBot="1" x14ac:dyDescent="0.3">
      <c r="B33" s="13"/>
      <c r="E33" s="10"/>
      <c r="I33" s="10"/>
      <c r="K33" t="s">
        <v>37</v>
      </c>
      <c r="M33" s="10"/>
      <c r="Q33" s="15"/>
    </row>
    <row r="34" spans="2:17" ht="15.75" thickBot="1" x14ac:dyDescent="0.3">
      <c r="B34" s="5"/>
      <c r="C34" s="6" t="s">
        <v>10</v>
      </c>
      <c r="D34" s="6"/>
      <c r="E34" s="6"/>
      <c r="F34" s="6" t="s">
        <v>11</v>
      </c>
      <c r="G34" s="6"/>
      <c r="H34" s="6"/>
      <c r="I34" s="6"/>
      <c r="J34" s="6" t="s">
        <v>12</v>
      </c>
      <c r="K34" s="6"/>
      <c r="L34" s="6"/>
      <c r="M34" s="6"/>
      <c r="N34" s="6"/>
      <c r="O34" s="6" t="s">
        <v>13</v>
      </c>
      <c r="P34" s="6"/>
      <c r="Q34" s="7"/>
    </row>
    <row r="35" spans="2:17" ht="15.75" thickBot="1" x14ac:dyDescent="0.3">
      <c r="B35" s="11"/>
      <c r="E35" s="10"/>
      <c r="I35" s="10"/>
      <c r="M35" s="10"/>
      <c r="Q35" s="15"/>
    </row>
    <row r="36" spans="2:17" ht="21" customHeight="1" thickBot="1" x14ac:dyDescent="0.3">
      <c r="B36" s="12"/>
      <c r="C36" t="s">
        <v>29</v>
      </c>
      <c r="D36" s="1">
        <v>128013</v>
      </c>
      <c r="E36" s="10"/>
      <c r="G36" t="s">
        <v>26</v>
      </c>
      <c r="H36" s="1">
        <v>4.75</v>
      </c>
      <c r="I36" s="10"/>
      <c r="K36" t="s">
        <v>26</v>
      </c>
      <c r="L36" s="1"/>
      <c r="M36" s="10"/>
      <c r="O36" t="s">
        <v>26</v>
      </c>
      <c r="P36" s="1">
        <f>H36-L36</f>
        <v>4.75</v>
      </c>
      <c r="Q36" s="15"/>
    </row>
    <row r="37" spans="2:17" ht="21" customHeight="1" thickBot="1" x14ac:dyDescent="0.3">
      <c r="B37" s="12"/>
      <c r="E37" s="10"/>
      <c r="I37" s="10"/>
      <c r="L37" s="8"/>
      <c r="M37" s="10"/>
      <c r="O37" t="s">
        <v>25</v>
      </c>
      <c r="P37" s="1"/>
      <c r="Q37" s="15"/>
    </row>
    <row r="38" spans="2:17" ht="15.75" thickBot="1" x14ac:dyDescent="0.3">
      <c r="B38" s="13"/>
      <c r="E38" s="10"/>
      <c r="I38" s="10"/>
      <c r="M38" s="10"/>
      <c r="Q38" s="16"/>
    </row>
    <row r="39" spans="2:17" ht="15.75" thickBot="1" x14ac:dyDescent="0.3">
      <c r="B39" s="43"/>
      <c r="C39" s="25" t="s">
        <v>73</v>
      </c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1"/>
      <c r="Q39" s="48"/>
    </row>
    <row r="40" spans="2:17" x14ac:dyDescent="0.25">
      <c r="B40" s="44"/>
      <c r="C40" s="41" t="s">
        <v>77</v>
      </c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49"/>
    </row>
    <row r="41" spans="2:17" x14ac:dyDescent="0.25">
      <c r="B41" s="44"/>
      <c r="C41" s="55" t="s">
        <v>78</v>
      </c>
      <c r="P41" s="36"/>
      <c r="Q41" s="49"/>
    </row>
    <row r="42" spans="2:17" x14ac:dyDescent="0.25">
      <c r="B42" s="44"/>
      <c r="C42" s="40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6"/>
      <c r="Q42" s="49"/>
    </row>
    <row r="43" spans="2:17" x14ac:dyDescent="0.25">
      <c r="B43" s="44"/>
      <c r="C43" s="40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6"/>
      <c r="Q43" s="49"/>
    </row>
    <row r="44" spans="2:17" x14ac:dyDescent="0.25">
      <c r="B44" s="44"/>
      <c r="C44" s="40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6"/>
      <c r="Q44" s="49"/>
    </row>
    <row r="45" spans="2:17" x14ac:dyDescent="0.25">
      <c r="B45" s="44"/>
      <c r="C45" s="38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9"/>
      <c r="Q45" s="49"/>
    </row>
    <row r="46" spans="2:17" x14ac:dyDescent="0.25">
      <c r="B46" s="44"/>
      <c r="C46" s="41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7"/>
      <c r="Q46" s="49"/>
    </row>
    <row r="47" spans="2:17" x14ac:dyDescent="0.25">
      <c r="B47" s="44"/>
      <c r="C47" s="41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7"/>
      <c r="Q47" s="49"/>
    </row>
    <row r="48" spans="2:17" x14ac:dyDescent="0.25">
      <c r="B48" s="44"/>
      <c r="C48" s="41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7"/>
      <c r="Q48" s="49"/>
    </row>
    <row r="49" spans="2:17" x14ac:dyDescent="0.25">
      <c r="B49" s="44"/>
      <c r="C49" s="41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7"/>
      <c r="Q49" s="49"/>
    </row>
    <row r="50" spans="2:17" x14ac:dyDescent="0.25">
      <c r="B50" s="44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54"/>
      <c r="Q50" s="49"/>
    </row>
    <row r="51" spans="2:17" ht="15.75" thickBot="1" x14ac:dyDescent="0.3">
      <c r="B51" s="45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</row>
  </sheetData>
  <sheetProtection selectLockedCells="1"/>
  <printOptions horizontalCentered="1"/>
  <pageMargins left="0.70866141732283472" right="0.70866141732283472" top="0.74803149606299213" bottom="0.74803149606299213" header="0.31496062992125984" footer="0.31496062992125984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a_campos">
                <anchor moveWithCells="1" sizeWithCells="1">
                  <from>
                    <xdr:col>14</xdr:col>
                    <xdr:colOff>304800</xdr:colOff>
                    <xdr:row>1</xdr:row>
                    <xdr:rowOff>85725</xdr:rowOff>
                  </from>
                  <to>
                    <xdr:col>15</xdr:col>
                    <xdr:colOff>1038225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ir_dados">
                <anchor moveWithCells="1" sizeWithCells="1">
                  <from>
                    <xdr:col>11</xdr:col>
                    <xdr:colOff>504825</xdr:colOff>
                    <xdr:row>1</xdr:row>
                    <xdr:rowOff>76200</xdr:rowOff>
                  </from>
                  <to>
                    <xdr:col>14</xdr:col>
                    <xdr:colOff>161925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Macro</vt:lpstr>
      <vt:lpstr>Formulario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Francisco da Silva Filho</dc:creator>
  <cp:lastModifiedBy>Marcelo Francisco da Silva Filho</cp:lastModifiedBy>
  <cp:lastPrinted>2022-11-24T14:05:58Z</cp:lastPrinted>
  <dcterms:created xsi:type="dcterms:W3CDTF">2015-06-05T18:19:34Z</dcterms:created>
  <dcterms:modified xsi:type="dcterms:W3CDTF">2022-11-24T14:15:31Z</dcterms:modified>
</cp:coreProperties>
</file>